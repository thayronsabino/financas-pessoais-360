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durigon/Library/Mobile Documents/com~apple~CloudDocs/Church/Church/Zion - Global/"/>
    </mc:Choice>
  </mc:AlternateContent>
  <xr:revisionPtr revIDLastSave="0" documentId="13_ncr:1_{F413ADE2-04DD-AA49-8382-2B888955B9BD}" xr6:coauthVersionLast="47" xr6:coauthVersionMax="47" xr10:uidLastSave="{00000000-0000-0000-0000-000000000000}"/>
  <bookViews>
    <workbookView xWindow="580" yWindow="760" windowWidth="29300" windowHeight="17320" xr2:uid="{4E4E0DC6-C6BE-2147-ADAE-0CE9E6541BAE}"/>
  </bookViews>
  <sheets>
    <sheet name="Controle Financeiro - Exemplo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8" l="1"/>
  <c r="N60" i="8" l="1"/>
  <c r="N53" i="8"/>
  <c r="N45" i="8"/>
  <c r="N38" i="8"/>
  <c r="N29" i="8"/>
  <c r="N24" i="8"/>
  <c r="N17" i="8"/>
  <c r="M60" i="8"/>
  <c r="M53" i="8"/>
  <c r="M45" i="8"/>
  <c r="M38" i="8"/>
  <c r="M29" i="8"/>
  <c r="M24" i="8"/>
  <c r="M17" i="8"/>
  <c r="L60" i="8"/>
  <c r="L53" i="8"/>
  <c r="L45" i="8"/>
  <c r="L38" i="8"/>
  <c r="L29" i="8"/>
  <c r="L24" i="8"/>
  <c r="L17" i="8"/>
  <c r="L66" i="8" s="1"/>
  <c r="K60" i="8"/>
  <c r="K53" i="8"/>
  <c r="K45" i="8"/>
  <c r="K38" i="8"/>
  <c r="K29" i="8"/>
  <c r="K24" i="8"/>
  <c r="K17" i="8"/>
  <c r="J60" i="8"/>
  <c r="J53" i="8"/>
  <c r="J45" i="8"/>
  <c r="J38" i="8"/>
  <c r="J29" i="8"/>
  <c r="J24" i="8"/>
  <c r="J17" i="8"/>
  <c r="J66" i="8" s="1"/>
  <c r="I60" i="8"/>
  <c r="I53" i="8"/>
  <c r="I45" i="8"/>
  <c r="I38" i="8"/>
  <c r="I29" i="8"/>
  <c r="I24" i="8"/>
  <c r="I17" i="8"/>
  <c r="H60" i="8"/>
  <c r="H53" i="8"/>
  <c r="H45" i="8"/>
  <c r="H38" i="8"/>
  <c r="H29" i="8"/>
  <c r="H24" i="8"/>
  <c r="H17" i="8"/>
  <c r="H66" i="8" s="1"/>
  <c r="G60" i="8"/>
  <c r="G53" i="8"/>
  <c r="G45" i="8"/>
  <c r="G38" i="8"/>
  <c r="G29" i="8"/>
  <c r="G24" i="8"/>
  <c r="G17" i="8"/>
  <c r="F60" i="8"/>
  <c r="F53" i="8"/>
  <c r="F45" i="8"/>
  <c r="F38" i="8"/>
  <c r="F29" i="8"/>
  <c r="F24" i="8"/>
  <c r="F17" i="8"/>
  <c r="F66" i="8" s="1"/>
  <c r="F67" i="8" s="1"/>
  <c r="E60" i="8"/>
  <c r="E53" i="8"/>
  <c r="E45" i="8"/>
  <c r="E38" i="8"/>
  <c r="E29" i="8"/>
  <c r="E24" i="8"/>
  <c r="E17" i="8"/>
  <c r="D60" i="8"/>
  <c r="D53" i="8"/>
  <c r="D45" i="8"/>
  <c r="D38" i="8"/>
  <c r="D29" i="8"/>
  <c r="D24" i="8"/>
  <c r="D17" i="8"/>
  <c r="D66" i="8" s="1"/>
  <c r="D67" i="8" s="1"/>
  <c r="C60" i="8"/>
  <c r="C53" i="8"/>
  <c r="C45" i="8"/>
  <c r="C38" i="8"/>
  <c r="C29" i="8"/>
  <c r="O64" i="8"/>
  <c r="O63" i="8"/>
  <c r="O62" i="8"/>
  <c r="O61" i="8"/>
  <c r="O58" i="8"/>
  <c r="O57" i="8"/>
  <c r="O56" i="8"/>
  <c r="O55" i="8"/>
  <c r="O54" i="8"/>
  <c r="O53" i="8" s="1"/>
  <c r="O51" i="8"/>
  <c r="O50" i="8"/>
  <c r="O49" i="8"/>
  <c r="O48" i="8"/>
  <c r="O47" i="8"/>
  <c r="O46" i="8"/>
  <c r="O45" i="8" s="1"/>
  <c r="O42" i="8"/>
  <c r="O41" i="8"/>
  <c r="O40" i="8"/>
  <c r="O39" i="8"/>
  <c r="O36" i="8"/>
  <c r="O35" i="8"/>
  <c r="O34" i="8"/>
  <c r="O33" i="8"/>
  <c r="O32" i="8"/>
  <c r="O30" i="8"/>
  <c r="O28" i="8"/>
  <c r="O27" i="8"/>
  <c r="O26" i="8"/>
  <c r="O25" i="8"/>
  <c r="O22" i="8"/>
  <c r="O21" i="8"/>
  <c r="O20" i="8"/>
  <c r="O19" i="8"/>
  <c r="O18" i="8"/>
  <c r="C24" i="8"/>
  <c r="C17" i="8"/>
  <c r="N14" i="8"/>
  <c r="M14" i="8"/>
  <c r="L14" i="8"/>
  <c r="K14" i="8"/>
  <c r="J14" i="8"/>
  <c r="I14" i="8"/>
  <c r="H14" i="8"/>
  <c r="G14" i="8"/>
  <c r="F14" i="8"/>
  <c r="E14" i="8"/>
  <c r="D14" i="8"/>
  <c r="C14" i="8"/>
  <c r="O13" i="8"/>
  <c r="O12" i="8"/>
  <c r="O11" i="8"/>
  <c r="O10" i="8"/>
  <c r="N66" i="8" l="1"/>
  <c r="O38" i="8"/>
  <c r="J67" i="8"/>
  <c r="N67" i="8"/>
  <c r="O60" i="8"/>
  <c r="H67" i="8"/>
  <c r="C66" i="8"/>
  <c r="C67" i="8" s="1"/>
  <c r="L67" i="8"/>
  <c r="O29" i="8"/>
  <c r="G66" i="8"/>
  <c r="G67" i="8" s="1"/>
  <c r="K66" i="8"/>
  <c r="K67" i="8" s="1"/>
  <c r="M66" i="8"/>
  <c r="M67" i="8" s="1"/>
  <c r="O14" i="8"/>
  <c r="B5" i="8" s="1"/>
  <c r="N6" i="8" s="1"/>
  <c r="E66" i="8"/>
  <c r="E67" i="8" s="1"/>
  <c r="I66" i="8"/>
  <c r="I67" i="8" s="1"/>
  <c r="O17" i="8"/>
  <c r="O24" i="8"/>
  <c r="F5" i="8" s="1"/>
  <c r="O66" i="8" l="1"/>
  <c r="O67" i="8" s="1"/>
  <c r="D5" i="8"/>
  <c r="H5" i="8" l="1"/>
  <c r="K5" i="8"/>
  <c r="H6" i="8" l="1"/>
  <c r="D6" i="8"/>
  <c r="F6" i="8"/>
  <c r="K6" i="8" l="1"/>
</calcChain>
</file>

<file path=xl/sharedStrings.xml><?xml version="1.0" encoding="utf-8"?>
<sst xmlns="http://schemas.openxmlformats.org/spreadsheetml/2006/main" count="67" uniqueCount="66">
  <si>
    <t>Despesas:</t>
  </si>
  <si>
    <t>Total</t>
  </si>
  <si>
    <t>Outros</t>
  </si>
  <si>
    <t>Mercado</t>
  </si>
  <si>
    <t>Ajudante</t>
  </si>
  <si>
    <t>Aluguel</t>
  </si>
  <si>
    <t>Internet</t>
  </si>
  <si>
    <t>Casa outros</t>
  </si>
  <si>
    <t>Transporte:</t>
  </si>
  <si>
    <t>Seguro</t>
  </si>
  <si>
    <t>Gasolina</t>
  </si>
  <si>
    <t>Uber</t>
  </si>
  <si>
    <t>Alimentação e Diversão</t>
  </si>
  <si>
    <t>Restaurante</t>
  </si>
  <si>
    <t>Presentes</t>
  </si>
  <si>
    <t>Diversão</t>
  </si>
  <si>
    <t>Subscriptions:</t>
  </si>
  <si>
    <t>Netflix</t>
  </si>
  <si>
    <t>Educação</t>
  </si>
  <si>
    <t>Dízimos</t>
  </si>
  <si>
    <t>Ofertas</t>
  </si>
  <si>
    <t>PUL</t>
  </si>
  <si>
    <t>Caridade</t>
  </si>
  <si>
    <t>Missões</t>
  </si>
  <si>
    <t>Primícias:</t>
  </si>
  <si>
    <t>Resultado:</t>
  </si>
  <si>
    <t>Manutenção</t>
  </si>
  <si>
    <t>IPVA</t>
  </si>
  <si>
    <t>Férias</t>
  </si>
  <si>
    <t>Salário 1</t>
  </si>
  <si>
    <t>Salário 2</t>
  </si>
  <si>
    <t>Receita</t>
  </si>
  <si>
    <t>Total Receitas</t>
  </si>
  <si>
    <t>Outras Receitas</t>
  </si>
  <si>
    <t>Rendimeto Investimento</t>
  </si>
  <si>
    <t>Moradia:</t>
  </si>
  <si>
    <t xml:space="preserve">Escola </t>
  </si>
  <si>
    <t>Cursos</t>
  </si>
  <si>
    <t>Outros estudos</t>
  </si>
  <si>
    <t>Carro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</si>
  <si>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</si>
  <si>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</si>
  <si>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</si>
  <si>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</si>
  <si>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</si>
  <si>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</si>
  <si>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</si>
  <si>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</si>
  <si>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</si>
  <si>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</si>
  <si>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</si>
  <si>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</si>
  <si>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Investimentos</t>
  </si>
  <si>
    <t>Invest 1</t>
  </si>
  <si>
    <t>Invest 2</t>
  </si>
  <si>
    <t>Invest 3</t>
  </si>
  <si>
    <t>Total Despesas:</t>
  </si>
  <si>
    <t>Total Receita 2026</t>
  </si>
  <si>
    <t>Total Despesas</t>
  </si>
  <si>
    <t>CONTROLE FINANCEIRO:</t>
  </si>
  <si>
    <t>Primícias [20%]</t>
  </si>
  <si>
    <t>Investimentos [20%]</t>
  </si>
  <si>
    <t>Outras Despesas [60%]</t>
  </si>
  <si>
    <t>Condomínio + Agua + Luz</t>
  </si>
  <si>
    <t>You Tube</t>
  </si>
  <si>
    <t>Custo Moradia [máx 30%]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</si>
</sst>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[$-409]mmm\-yy;@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sz val="12"/>
      <color theme="0"/>
      <name val="Aptos Narrow"/>
      <scheme val="minor"/>
    </font>
    <font>
      <sz val="8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BEC2"/>
        <bgColor indexed="64"/>
      </patternFill>
    </fill>
    <fill>
      <patternFill patternType="solid">
        <fgColor rgb="FFD62208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165" fontId="0" fillId="0" borderId="0" xfId="1" applyNumberFormat="1" applyFont="1"/>
    <xf numFmtId="165" fontId="2" fillId="0" borderId="0" xfId="1" applyNumberFormat="1" applyFont="1"/>
    <xf numFmtId="0" fontId="0" fillId="0" borderId="0" xfId="0" applyAlignment="1">
      <alignment horizontal="left" indent="2"/>
    </xf>
    <xf numFmtId="165" fontId="0" fillId="0" borderId="1" xfId="1" applyNumberFormat="1" applyFont="1" applyBorder="1"/>
    <xf numFmtId="0" fontId="2" fillId="0" borderId="1" xfId="0" applyFont="1" applyBorder="1" applyAlignment="1">
      <alignment horizontal="left" indent="1"/>
    </xf>
    <xf numFmtId="165" fontId="2" fillId="0" borderId="1" xfId="1" applyNumberFormat="1" applyFont="1" applyBorder="1"/>
    <xf numFmtId="0" fontId="2" fillId="4" borderId="1" xfId="0" applyFont="1" applyFill="1" applyBorder="1"/>
    <xf numFmtId="165" fontId="0" fillId="4" borderId="1" xfId="1" applyNumberFormat="1" applyFont="1" applyFill="1" applyBorder="1"/>
    <xf numFmtId="0" fontId="2" fillId="4" borderId="0" xfId="0" applyFont="1" applyFill="1"/>
    <xf numFmtId="165" fontId="2" fillId="4" borderId="0" xfId="1" applyNumberFormat="1" applyFont="1" applyFill="1"/>
    <xf numFmtId="0" fontId="2" fillId="4" borderId="2" xfId="0" applyFont="1" applyFill="1" applyBorder="1" applyAlignment="1">
      <alignment horizontal="left" indent="1"/>
    </xf>
    <xf numFmtId="165" fontId="2" fillId="4" borderId="2" xfId="1" applyNumberFormat="1" applyFont="1" applyFill="1" applyBorder="1"/>
    <xf numFmtId="0" fontId="2" fillId="4" borderId="1" xfId="0" applyFont="1" applyFill="1" applyBorder="1" applyAlignment="1">
      <alignment horizontal="left"/>
    </xf>
    <xf numFmtId="165" fontId="2" fillId="4" borderId="1" xfId="1" applyNumberFormat="1" applyFont="1" applyFill="1" applyBorder="1"/>
    <xf numFmtId="0" fontId="4" fillId="3" borderId="2" xfId="0" applyFont="1" applyFill="1" applyBorder="1" applyAlignment="1">
      <alignment horizontal="left"/>
    </xf>
    <xf numFmtId="165" fontId="4" fillId="3" borderId="2" xfId="1" applyNumberFormat="1" applyFont="1" applyFill="1" applyBorder="1"/>
    <xf numFmtId="166" fontId="0" fillId="0" borderId="0" xfId="0" applyNumberForma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4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8" borderId="0" xfId="0" applyFont="1" applyFill="1"/>
    <xf numFmtId="0" fontId="6" fillId="8" borderId="0" xfId="0" applyFont="1" applyFill="1"/>
    <xf numFmtId="0" fontId="4" fillId="8" borderId="0" xfId="0" applyFont="1" applyFill="1"/>
    <xf numFmtId="3" fontId="2" fillId="2" borderId="0" xfId="0" applyNumberFormat="1" applyFont="1" applyFill="1" applyAlignment="1">
      <alignment horizontal="center" vertical="center"/>
    </xf>
    <xf numFmtId="3" fontId="2" fillId="4" borderId="3" xfId="0" applyNumberFormat="1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3" fontId="2" fillId="4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9" fontId="8" fillId="4" borderId="3" xfId="0" applyNumberFormat="1" applyFont="1" applyFill="1" applyBorder="1" applyAlignment="1">
      <alignment horizontal="center"/>
    </xf>
    <xf numFmtId="9" fontId="8" fillId="4" borderId="4" xfId="0" applyNumberFormat="1" applyFont="1" applyFill="1" applyBorder="1" applyAlignment="1">
      <alignment horizontal="center"/>
    </xf>
    <xf numFmtId="9" fontId="8" fillId="4" borderId="5" xfId="0" applyNumberFormat="1" applyFont="1" applyFill="1" applyBorder="1" applyAlignment="1">
      <alignment horizontal="center"/>
    </xf>
    <xf numFmtId="9" fontId="8" fillId="4" borderId="0" xfId="0" applyNumberFormat="1" applyFont="1" applyFill="1" applyAlignment="1">
      <alignment horizontal="center"/>
    </xf>
    <xf numFmtId="9" fontId="8" fillId="0" borderId="0" xfId="0" applyNumberFormat="1" applyFont="1" applyFill="1"/>
    <xf numFmtId="9" fontId="8" fillId="6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62208"/>
      <color rgb="FFFFBEC2"/>
      <color rgb="FFFF2600"/>
      <color rgb="FFFFF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2D1-CBE9-2E47-8206-9EF859093F7A}">
  <dimension ref="B1:O68"/>
  <sheetViews>
    <sheetView showGridLines="0" tabSelected="1" zoomScale="117" zoomScaleNormal="180" workbookViewId="0">
      <pane xSplit="2" ySplit="8" topLeftCell="C9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6" outlineLevelRow="1" x14ac:dyDescent="0.2"/>
  <cols>
    <col min="1" max="1" width="1.1640625" style="3" customWidth="1"/>
    <col min="2" max="2" width="25.5" bestFit="1" customWidth="1"/>
    <col min="3" max="14" width="10.83203125" style="3"/>
    <col min="15" max="15" width="10.83203125" style="4"/>
    <col min="16" max="16384" width="10.83203125" style="3"/>
  </cols>
  <sheetData>
    <row r="1" spans="2:15" ht="8" customHeight="1" x14ac:dyDescent="0.2"/>
    <row r="2" spans="2:15" customFormat="1" ht="19" x14ac:dyDescent="0.25">
      <c r="B2" s="29" t="s">
        <v>59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</row>
    <row r="3" spans="2:15" customFormat="1" x14ac:dyDescent="0.2"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1"/>
    </row>
    <row r="4" spans="2:15" customFormat="1" x14ac:dyDescent="0.2">
      <c r="B4" s="27" t="s">
        <v>57</v>
      </c>
      <c r="C4" s="22"/>
      <c r="D4" s="24" t="s">
        <v>60</v>
      </c>
      <c r="E4" s="25"/>
      <c r="F4" s="25" t="s">
        <v>61</v>
      </c>
      <c r="G4" s="25"/>
      <c r="H4" s="25" t="s">
        <v>62</v>
      </c>
      <c r="I4" s="26"/>
      <c r="J4" s="3"/>
      <c r="K4" s="23" t="s">
        <v>58</v>
      </c>
      <c r="L4" s="23"/>
      <c r="M4" s="22"/>
      <c r="N4" s="28" t="s">
        <v>65</v>
      </c>
      <c r="O4" s="28"/>
    </row>
    <row r="5" spans="2:15" customFormat="1" x14ac:dyDescent="0.2">
      <c r="B5" s="32">
        <f>O14</f>
        <v>10000</v>
      </c>
      <c r="C5" s="21"/>
      <c r="D5" s="33">
        <f>O17</f>
        <v>2000</v>
      </c>
      <c r="E5" s="34"/>
      <c r="F5" s="34">
        <f>O24</f>
        <v>2000</v>
      </c>
      <c r="G5" s="34"/>
      <c r="H5" s="34">
        <f>O66-O17-O24</f>
        <v>6000</v>
      </c>
      <c r="I5" s="35"/>
      <c r="J5" s="4"/>
      <c r="K5" s="36">
        <f>O66</f>
        <v>10000</v>
      </c>
      <c r="L5" s="36"/>
      <c r="M5" s="37"/>
      <c r="N5" s="38">
        <f>(C30+C31+C35)</f>
        <v>6000</v>
      </c>
      <c r="O5" s="38"/>
    </row>
    <row r="6" spans="2:15" customFormat="1" x14ac:dyDescent="0.2">
      <c r="B6" s="32"/>
      <c r="C6" s="21"/>
      <c r="D6" s="39">
        <f>D5/K5</f>
        <v>0.2</v>
      </c>
      <c r="E6" s="40"/>
      <c r="F6" s="40">
        <f>F5/K5</f>
        <v>0.2</v>
      </c>
      <c r="G6" s="40"/>
      <c r="H6" s="40">
        <f>H5/K5</f>
        <v>0.6</v>
      </c>
      <c r="I6" s="41"/>
      <c r="J6" s="4"/>
      <c r="K6" s="42">
        <f>SUM(D6:I6)</f>
        <v>1</v>
      </c>
      <c r="L6" s="42"/>
      <c r="M6" s="43"/>
      <c r="N6" s="44">
        <f>N5/B5</f>
        <v>0.6</v>
      </c>
      <c r="O6" s="44"/>
    </row>
    <row r="7" spans="2:15" customFormat="1" x14ac:dyDescent="0.2"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1"/>
    </row>
    <row r="8" spans="2:15" customFormat="1" x14ac:dyDescent="0.2">
      <c r="C8" s="19" t="s">
        <v>40</v>
      </c>
      <c r="D8" s="19" t="s">
        <v>41</v>
      </c>
      <c r="E8" s="19" t="s">
        <v>42</v>
      </c>
      <c r="F8" s="19" t="s">
        <v>43</v>
      </c>
      <c r="G8" s="19" t="s">
        <v>44</v>
      </c>
      <c r="H8" s="19" t="s">
        <v>45</v>
      </c>
      <c r="I8" s="19" t="s">
        <v>46</v>
      </c>
      <c r="J8" s="19" t="s">
        <v>47</v>
      </c>
      <c r="K8" s="19" t="s">
        <v>48</v>
      </c>
      <c r="L8" s="19" t="s">
        <v>49</v>
      </c>
      <c r="M8" s="19" t="s">
        <v>50</v>
      </c>
      <c r="N8" s="19" t="s">
        <v>51</v>
      </c>
      <c r="O8" s="20" t="s">
        <v>1</v>
      </c>
    </row>
    <row r="9" spans="2:15" x14ac:dyDescent="0.2">
      <c r="B9" s="9" t="s">
        <v>31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"/>
    </row>
    <row r="10" spans="2:15" outlineLevel="1" x14ac:dyDescent="0.2">
      <c r="B10" s="2" t="s">
        <v>29</v>
      </c>
      <c r="C10" s="3">
        <v>10000</v>
      </c>
      <c r="O10" s="4">
        <f>SUM(C10:N10)</f>
        <v>10000</v>
      </c>
    </row>
    <row r="11" spans="2:15" outlineLevel="1" x14ac:dyDescent="0.2">
      <c r="B11" s="2" t="s">
        <v>30</v>
      </c>
      <c r="O11" s="4">
        <f>SUM(C11:N11)</f>
        <v>0</v>
      </c>
    </row>
    <row r="12" spans="2:15" outlineLevel="1" x14ac:dyDescent="0.2">
      <c r="B12" s="2" t="s">
        <v>34</v>
      </c>
      <c r="O12" s="4">
        <f>SUM(C12:N12)</f>
        <v>0</v>
      </c>
    </row>
    <row r="13" spans="2:15" outlineLevel="1" x14ac:dyDescent="0.2">
      <c r="B13" s="2" t="s">
        <v>33</v>
      </c>
      <c r="O13" s="4">
        <f>SUM(C13:N13)</f>
        <v>0</v>
      </c>
    </row>
    <row r="14" spans="2:15" s="4" customFormat="1" ht="17" thickBot="1" x14ac:dyDescent="0.25">
      <c r="B14" s="13" t="s">
        <v>32</v>
      </c>
      <c r="C14" s="14">
        <f t="shared" ref="C14:N14" si="0">SUM(C10:C13)</f>
        <v>10000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J14" s="14">
        <f t="shared" si="0"/>
        <v>0</v>
      </c>
      <c r="K14" s="14">
        <f t="shared" si="0"/>
        <v>0</v>
      </c>
      <c r="L14" s="14">
        <f t="shared" si="0"/>
        <v>0</v>
      </c>
      <c r="M14" s="14">
        <f t="shared" si="0"/>
        <v>0</v>
      </c>
      <c r="N14" s="14">
        <f t="shared" si="0"/>
        <v>0</v>
      </c>
      <c r="O14" s="14">
        <f>SUM(O10:O13)</f>
        <v>10000</v>
      </c>
    </row>
    <row r="15" spans="2:15" ht="17" thickTop="1" x14ac:dyDescent="0.2"/>
    <row r="16" spans="2:15" s="4" customFormat="1" x14ac:dyDescent="0.2">
      <c r="B16" s="11" t="s">
        <v>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2:15" s="4" customFormat="1" x14ac:dyDescent="0.2">
      <c r="B17" s="7" t="s">
        <v>24</v>
      </c>
      <c r="C17" s="8">
        <f>SUM(C18:C23)</f>
        <v>2000</v>
      </c>
      <c r="D17" s="8">
        <f>SUM(D18:D23)</f>
        <v>0</v>
      </c>
      <c r="E17" s="8">
        <f>SUM(E18:E23)</f>
        <v>0</v>
      </c>
      <c r="F17" s="8">
        <f>SUM(F18:F23)</f>
        <v>0</v>
      </c>
      <c r="G17" s="8">
        <f>SUM(G18:G23)</f>
        <v>0</v>
      </c>
      <c r="H17" s="8">
        <f>SUM(H18:H23)</f>
        <v>0</v>
      </c>
      <c r="I17" s="8">
        <f>SUM(I18:I23)</f>
        <v>0</v>
      </c>
      <c r="J17" s="8">
        <f>SUM(J18:J23)</f>
        <v>0</v>
      </c>
      <c r="K17" s="8">
        <f>SUM(K18:K23)</f>
        <v>0</v>
      </c>
      <c r="L17" s="8">
        <f>SUM(L18:L23)</f>
        <v>0</v>
      </c>
      <c r="M17" s="8">
        <f>SUM(M18:M23)</f>
        <v>0</v>
      </c>
      <c r="N17" s="8">
        <f>SUM(N18:N23)</f>
        <v>0</v>
      </c>
      <c r="O17" s="8">
        <f t="shared" ref="O17" si="1">SUM(O18:O23)</f>
        <v>2000</v>
      </c>
    </row>
    <row r="18" spans="2:15" outlineLevel="1" x14ac:dyDescent="0.2">
      <c r="B18" s="5" t="s">
        <v>19</v>
      </c>
      <c r="C18" s="3">
        <v>1000</v>
      </c>
      <c r="O18" s="4">
        <f>SUM(C18:N18)</f>
        <v>1000</v>
      </c>
    </row>
    <row r="19" spans="2:15" outlineLevel="1" x14ac:dyDescent="0.2">
      <c r="B19" s="5" t="s">
        <v>20</v>
      </c>
      <c r="C19" s="3">
        <v>250</v>
      </c>
      <c r="O19" s="4">
        <f t="shared" ref="O19:O22" si="2">SUM(C19:N19)</f>
        <v>250</v>
      </c>
    </row>
    <row r="20" spans="2:15" outlineLevel="1" x14ac:dyDescent="0.2">
      <c r="B20" s="5" t="s">
        <v>21</v>
      </c>
      <c r="C20" s="3">
        <v>250</v>
      </c>
      <c r="O20" s="4">
        <f t="shared" si="2"/>
        <v>250</v>
      </c>
    </row>
    <row r="21" spans="2:15" outlineLevel="1" x14ac:dyDescent="0.2">
      <c r="B21" s="5" t="s">
        <v>23</v>
      </c>
      <c r="C21" s="3">
        <v>250</v>
      </c>
      <c r="O21" s="4">
        <f t="shared" si="2"/>
        <v>250</v>
      </c>
    </row>
    <row r="22" spans="2:15" outlineLevel="1" x14ac:dyDescent="0.2">
      <c r="B22" s="5" t="s">
        <v>22</v>
      </c>
      <c r="C22" s="3">
        <v>250</v>
      </c>
      <c r="O22" s="4">
        <f t="shared" si="2"/>
        <v>250</v>
      </c>
    </row>
    <row r="24" spans="2:15" s="4" customFormat="1" x14ac:dyDescent="0.2">
      <c r="B24" s="7" t="s">
        <v>52</v>
      </c>
      <c r="C24" s="8">
        <f>SUM(C25:C28)</f>
        <v>2000</v>
      </c>
      <c r="D24" s="8">
        <f>SUM(D25:D28)</f>
        <v>0</v>
      </c>
      <c r="E24" s="8">
        <f>SUM(E25:E28)</f>
        <v>0</v>
      </c>
      <c r="F24" s="8">
        <f>SUM(F25:F28)</f>
        <v>0</v>
      </c>
      <c r="G24" s="8">
        <f>SUM(G25:G28)</f>
        <v>0</v>
      </c>
      <c r="H24" s="8">
        <f>SUM(H25:H28)</f>
        <v>0</v>
      </c>
      <c r="I24" s="8">
        <f>SUM(I25:I28)</f>
        <v>0</v>
      </c>
      <c r="J24" s="8">
        <f>SUM(J25:J28)</f>
        <v>0</v>
      </c>
      <c r="K24" s="8">
        <f>SUM(K25:K28)</f>
        <v>0</v>
      </c>
      <c r="L24" s="8">
        <f>SUM(L25:L28)</f>
        <v>0</v>
      </c>
      <c r="M24" s="8">
        <f>SUM(M25:M28)</f>
        <v>0</v>
      </c>
      <c r="N24" s="8">
        <f>SUM(N25:N28)</f>
        <v>0</v>
      </c>
      <c r="O24" s="8">
        <f t="shared" ref="O24" si="3">SUM(O25:O28)</f>
        <v>2000</v>
      </c>
    </row>
    <row r="25" spans="2:15" outlineLevel="1" x14ac:dyDescent="0.2">
      <c r="B25" s="5" t="s">
        <v>53</v>
      </c>
      <c r="C25" s="3">
        <v>2000</v>
      </c>
      <c r="O25" s="4">
        <f t="shared" ref="O25:O28" si="4">SUM(C25:N25)</f>
        <v>2000</v>
      </c>
    </row>
    <row r="26" spans="2:15" outlineLevel="1" x14ac:dyDescent="0.2">
      <c r="B26" s="5" t="s">
        <v>54</v>
      </c>
      <c r="O26" s="4">
        <f t="shared" si="4"/>
        <v>0</v>
      </c>
    </row>
    <row r="27" spans="2:15" outlineLevel="1" x14ac:dyDescent="0.2">
      <c r="B27" s="5" t="s">
        <v>55</v>
      </c>
      <c r="O27" s="4">
        <f t="shared" si="4"/>
        <v>0</v>
      </c>
    </row>
    <row r="28" spans="2:15" x14ac:dyDescent="0.2">
      <c r="B28" s="5"/>
      <c r="O28" s="4">
        <f t="shared" si="4"/>
        <v>0</v>
      </c>
    </row>
    <row r="29" spans="2:15" s="4" customFormat="1" x14ac:dyDescent="0.2">
      <c r="B29" s="7" t="s">
        <v>35</v>
      </c>
      <c r="C29" s="8">
        <f>SUM(C30:C37)</f>
        <v>6000</v>
      </c>
      <c r="D29" s="8">
        <f>SUM(D30:D37)</f>
        <v>0</v>
      </c>
      <c r="E29" s="8">
        <f>SUM(E30:E37)</f>
        <v>0</v>
      </c>
      <c r="F29" s="8">
        <f>SUM(F30:F37)</f>
        <v>0</v>
      </c>
      <c r="G29" s="8">
        <f>SUM(G30:G37)</f>
        <v>0</v>
      </c>
      <c r="H29" s="8">
        <f>SUM(H30:H37)</f>
        <v>0</v>
      </c>
      <c r="I29" s="8">
        <f>SUM(I30:I37)</f>
        <v>0</v>
      </c>
      <c r="J29" s="8">
        <f>SUM(J30:J37)</f>
        <v>0</v>
      </c>
      <c r="K29" s="8">
        <f>SUM(K30:K37)</f>
        <v>0</v>
      </c>
      <c r="L29" s="8">
        <f>SUM(L30:L37)</f>
        <v>0</v>
      </c>
      <c r="M29" s="8">
        <f>SUM(M30:M37)</f>
        <v>0</v>
      </c>
      <c r="N29" s="8">
        <f>SUM(N30:N37)</f>
        <v>0</v>
      </c>
      <c r="O29" s="8">
        <f>SUM(O30:O37)</f>
        <v>6000</v>
      </c>
    </row>
    <row r="30" spans="2:15" outlineLevel="1" x14ac:dyDescent="0.2">
      <c r="B30" s="5" t="s">
        <v>5</v>
      </c>
      <c r="C30" s="3">
        <v>6000</v>
      </c>
      <c r="O30" s="4">
        <f t="shared" ref="O30:O36" si="5">SUM(C30:N30)</f>
        <v>6000</v>
      </c>
    </row>
    <row r="31" spans="2:15" outlineLevel="1" x14ac:dyDescent="0.2">
      <c r="B31" s="5" t="s">
        <v>63</v>
      </c>
    </row>
    <row r="32" spans="2:15" outlineLevel="1" x14ac:dyDescent="0.2">
      <c r="B32" s="5" t="s">
        <v>9</v>
      </c>
      <c r="O32" s="4">
        <f t="shared" si="5"/>
        <v>0</v>
      </c>
    </row>
    <row r="33" spans="2:15" outlineLevel="1" x14ac:dyDescent="0.2">
      <c r="B33" s="5" t="s">
        <v>3</v>
      </c>
      <c r="O33" s="4">
        <f t="shared" si="5"/>
        <v>0</v>
      </c>
    </row>
    <row r="34" spans="2:15" outlineLevel="1" x14ac:dyDescent="0.2">
      <c r="B34" s="5" t="s">
        <v>4</v>
      </c>
      <c r="O34" s="4">
        <f t="shared" si="5"/>
        <v>0</v>
      </c>
    </row>
    <row r="35" spans="2:15" outlineLevel="1" x14ac:dyDescent="0.2">
      <c r="B35" s="5" t="s">
        <v>6</v>
      </c>
      <c r="O35" s="4">
        <f t="shared" si="5"/>
        <v>0</v>
      </c>
    </row>
    <row r="36" spans="2:15" outlineLevel="1" x14ac:dyDescent="0.2">
      <c r="B36" s="5" t="s">
        <v>7</v>
      </c>
      <c r="O36" s="4">
        <f t="shared" si="5"/>
        <v>0</v>
      </c>
    </row>
    <row r="38" spans="2:15" s="4" customFormat="1" x14ac:dyDescent="0.2">
      <c r="B38" s="7" t="s">
        <v>18</v>
      </c>
      <c r="C38" s="8">
        <f>SUM(C39:C42)</f>
        <v>0</v>
      </c>
      <c r="D38" s="8">
        <f>SUM(D39:D42)</f>
        <v>0</v>
      </c>
      <c r="E38" s="8">
        <f>SUM(E39:E42)</f>
        <v>0</v>
      </c>
      <c r="F38" s="8">
        <f>SUM(F39:F42)</f>
        <v>0</v>
      </c>
      <c r="G38" s="8">
        <f>SUM(G39:G42)</f>
        <v>0</v>
      </c>
      <c r="H38" s="8">
        <f>SUM(H39:H42)</f>
        <v>0</v>
      </c>
      <c r="I38" s="8">
        <f>SUM(I39:I42)</f>
        <v>0</v>
      </c>
      <c r="J38" s="8">
        <f>SUM(J39:J42)</f>
        <v>0</v>
      </c>
      <c r="K38" s="8">
        <f>SUM(K39:K42)</f>
        <v>0</v>
      </c>
      <c r="L38" s="8">
        <f>SUM(L39:L42)</f>
        <v>0</v>
      </c>
      <c r="M38" s="8">
        <f>SUM(M39:M42)</f>
        <v>0</v>
      </c>
      <c r="N38" s="8">
        <f>SUM(N39:N42)</f>
        <v>0</v>
      </c>
      <c r="O38" s="8">
        <f>SUM(O39:O42)</f>
        <v>0</v>
      </c>
    </row>
    <row r="39" spans="2:15" outlineLevel="1" x14ac:dyDescent="0.2">
      <c r="B39" s="5" t="s">
        <v>36</v>
      </c>
      <c r="O39" s="4">
        <f t="shared" ref="O39:O42" si="6">SUM(C39:N39)</f>
        <v>0</v>
      </c>
    </row>
    <row r="40" spans="2:15" outlineLevel="1" x14ac:dyDescent="0.2">
      <c r="B40" s="5" t="s">
        <v>37</v>
      </c>
      <c r="O40" s="4">
        <f t="shared" si="6"/>
        <v>0</v>
      </c>
    </row>
    <row r="41" spans="2:15" outlineLevel="1" x14ac:dyDescent="0.2">
      <c r="B41" s="5" t="s">
        <v>38</v>
      </c>
      <c r="O41" s="4">
        <f t="shared" si="6"/>
        <v>0</v>
      </c>
    </row>
    <row r="42" spans="2:15" outlineLevel="1" x14ac:dyDescent="0.2">
      <c r="B42" s="5"/>
      <c r="O42" s="4">
        <f t="shared" si="6"/>
        <v>0</v>
      </c>
    </row>
    <row r="43" spans="2:15" outlineLevel="1" x14ac:dyDescent="0.2">
      <c r="B43" s="5"/>
    </row>
    <row r="45" spans="2:15" s="4" customFormat="1" x14ac:dyDescent="0.2">
      <c r="B45" s="7" t="s">
        <v>8</v>
      </c>
      <c r="C45" s="8">
        <f>SUM(C46:C52)</f>
        <v>0</v>
      </c>
      <c r="D45" s="8">
        <f>SUM(D46:D52)</f>
        <v>0</v>
      </c>
      <c r="E45" s="8">
        <f>SUM(E46:E52)</f>
        <v>0</v>
      </c>
      <c r="F45" s="8">
        <f>SUM(F46:F52)</f>
        <v>0</v>
      </c>
      <c r="G45" s="8">
        <f>SUM(G46:G52)</f>
        <v>0</v>
      </c>
      <c r="H45" s="8">
        <f>SUM(H46:H52)</f>
        <v>0</v>
      </c>
      <c r="I45" s="8">
        <f>SUM(I46:I52)</f>
        <v>0</v>
      </c>
      <c r="J45" s="8">
        <f>SUM(J46:J52)</f>
        <v>0</v>
      </c>
      <c r="K45" s="8">
        <f>SUM(K46:K52)</f>
        <v>0</v>
      </c>
      <c r="L45" s="8">
        <f>SUM(L46:L52)</f>
        <v>0</v>
      </c>
      <c r="M45" s="8">
        <f>SUM(M46:M52)</f>
        <v>0</v>
      </c>
      <c r="N45" s="8">
        <f>SUM(N46:N52)</f>
        <v>0</v>
      </c>
      <c r="O45" s="8">
        <f>SUM(O46:O52)</f>
        <v>0</v>
      </c>
    </row>
    <row r="46" spans="2:15" outlineLevel="1" x14ac:dyDescent="0.2">
      <c r="B46" s="5" t="s">
        <v>39</v>
      </c>
      <c r="O46" s="4">
        <f t="shared" ref="O46:O51" si="7">SUM(C46:N46)</f>
        <v>0</v>
      </c>
    </row>
    <row r="47" spans="2:15" outlineLevel="1" x14ac:dyDescent="0.2">
      <c r="B47" s="5" t="s">
        <v>9</v>
      </c>
      <c r="O47" s="4">
        <f t="shared" si="7"/>
        <v>0</v>
      </c>
    </row>
    <row r="48" spans="2:15" outlineLevel="1" x14ac:dyDescent="0.2">
      <c r="B48" s="5" t="s">
        <v>10</v>
      </c>
      <c r="O48" s="4">
        <f t="shared" si="7"/>
        <v>0</v>
      </c>
    </row>
    <row r="49" spans="2:15" outlineLevel="1" x14ac:dyDescent="0.2">
      <c r="B49" s="5" t="s">
        <v>26</v>
      </c>
      <c r="O49" s="4">
        <f t="shared" si="7"/>
        <v>0</v>
      </c>
    </row>
    <row r="50" spans="2:15" outlineLevel="1" x14ac:dyDescent="0.2">
      <c r="B50" s="5" t="s">
        <v>27</v>
      </c>
      <c r="O50" s="4">
        <f t="shared" si="7"/>
        <v>0</v>
      </c>
    </row>
    <row r="51" spans="2:15" outlineLevel="1" x14ac:dyDescent="0.2">
      <c r="B51" s="5" t="s">
        <v>11</v>
      </c>
      <c r="O51" s="4">
        <f t="shared" si="7"/>
        <v>0</v>
      </c>
    </row>
    <row r="53" spans="2:15" s="4" customFormat="1" x14ac:dyDescent="0.2">
      <c r="B53" s="7" t="s">
        <v>12</v>
      </c>
      <c r="C53" s="8">
        <f>SUM(C54:C59)</f>
        <v>0</v>
      </c>
      <c r="D53" s="8">
        <f>SUM(D54:D59)</f>
        <v>0</v>
      </c>
      <c r="E53" s="8">
        <f>SUM(E54:E59)</f>
        <v>0</v>
      </c>
      <c r="F53" s="8">
        <f>SUM(F54:F59)</f>
        <v>0</v>
      </c>
      <c r="G53" s="8">
        <f>SUM(G54:G59)</f>
        <v>0</v>
      </c>
      <c r="H53" s="8">
        <f>SUM(H54:H59)</f>
        <v>0</v>
      </c>
      <c r="I53" s="8">
        <f>SUM(I54:I59)</f>
        <v>0</v>
      </c>
      <c r="J53" s="8">
        <f>SUM(J54:J59)</f>
        <v>0</v>
      </c>
      <c r="K53" s="8">
        <f>SUM(K54:K59)</f>
        <v>0</v>
      </c>
      <c r="L53" s="8">
        <f>SUM(L54:L59)</f>
        <v>0</v>
      </c>
      <c r="M53" s="8">
        <f>SUM(M54:M59)</f>
        <v>0</v>
      </c>
      <c r="N53" s="8">
        <f>SUM(N54:N59)</f>
        <v>0</v>
      </c>
      <c r="O53" s="8">
        <f>SUM(O54:O59)</f>
        <v>0</v>
      </c>
    </row>
    <row r="54" spans="2:15" outlineLevel="1" x14ac:dyDescent="0.2">
      <c r="B54" s="5" t="s">
        <v>13</v>
      </c>
      <c r="O54" s="4">
        <f t="shared" ref="O54:O58" si="8">SUM(C54:N54)</f>
        <v>0</v>
      </c>
    </row>
    <row r="55" spans="2:15" outlineLevel="1" x14ac:dyDescent="0.2">
      <c r="B55" s="5" t="s">
        <v>15</v>
      </c>
      <c r="O55" s="4">
        <f t="shared" si="8"/>
        <v>0</v>
      </c>
    </row>
    <row r="56" spans="2:15" outlineLevel="1" x14ac:dyDescent="0.2">
      <c r="B56" s="5" t="s">
        <v>14</v>
      </c>
      <c r="O56" s="4">
        <f t="shared" si="8"/>
        <v>0</v>
      </c>
    </row>
    <row r="57" spans="2:15" outlineLevel="1" x14ac:dyDescent="0.2">
      <c r="B57" s="5" t="s">
        <v>28</v>
      </c>
      <c r="O57" s="4">
        <f t="shared" si="8"/>
        <v>0</v>
      </c>
    </row>
    <row r="58" spans="2:15" outlineLevel="1" x14ac:dyDescent="0.2">
      <c r="B58" s="5" t="s">
        <v>2</v>
      </c>
      <c r="O58" s="4">
        <f t="shared" si="8"/>
        <v>0</v>
      </c>
    </row>
    <row r="60" spans="2:15" s="4" customFormat="1" x14ac:dyDescent="0.2">
      <c r="B60" s="7" t="s">
        <v>16</v>
      </c>
      <c r="C60" s="8">
        <f>SUM(C61:C65)</f>
        <v>0</v>
      </c>
      <c r="D60" s="8">
        <f>SUM(D61:D65)</f>
        <v>0</v>
      </c>
      <c r="E60" s="8">
        <f>SUM(E61:E65)</f>
        <v>0</v>
      </c>
      <c r="F60" s="8">
        <f>SUM(F61:F65)</f>
        <v>0</v>
      </c>
      <c r="G60" s="8">
        <f>SUM(G61:G65)</f>
        <v>0</v>
      </c>
      <c r="H60" s="8">
        <f>SUM(H61:H65)</f>
        <v>0</v>
      </c>
      <c r="I60" s="8">
        <f>SUM(I61:I65)</f>
        <v>0</v>
      </c>
      <c r="J60" s="8">
        <f>SUM(J61:J65)</f>
        <v>0</v>
      </c>
      <c r="K60" s="8">
        <f>SUM(K61:K65)</f>
        <v>0</v>
      </c>
      <c r="L60" s="8">
        <f>SUM(L61:L65)</f>
        <v>0</v>
      </c>
      <c r="M60" s="8">
        <f>SUM(M61:M65)</f>
        <v>0</v>
      </c>
      <c r="N60" s="8">
        <f>SUM(N61:N65)</f>
        <v>0</v>
      </c>
      <c r="O60" s="8">
        <f>SUM(O61:O65)</f>
        <v>0</v>
      </c>
    </row>
    <row r="61" spans="2:15" outlineLevel="1" x14ac:dyDescent="0.2">
      <c r="B61" s="5" t="s">
        <v>17</v>
      </c>
      <c r="O61" s="4">
        <f t="shared" ref="O61:O64" si="9">SUM(C61:N61)</f>
        <v>0</v>
      </c>
    </row>
    <row r="62" spans="2:15" outlineLevel="1" x14ac:dyDescent="0.2">
      <c r="B62" s="5" t="s">
        <v>64</v>
      </c>
      <c r="O62" s="4">
        <f t="shared" si="9"/>
        <v>0</v>
      </c>
    </row>
    <row r="63" spans="2:15" outlineLevel="1" x14ac:dyDescent="0.2">
      <c r="B63" s="5"/>
      <c r="O63" s="4">
        <f t="shared" si="9"/>
        <v>0</v>
      </c>
    </row>
    <row r="64" spans="2:15" outlineLevel="1" x14ac:dyDescent="0.2">
      <c r="B64" s="5"/>
      <c r="O64" s="4">
        <f t="shared" si="9"/>
        <v>0</v>
      </c>
    </row>
    <row r="65" spans="2:15" x14ac:dyDescent="0.2">
      <c r="B65" s="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8"/>
    </row>
    <row r="66" spans="2:15" s="4" customFormat="1" x14ac:dyDescent="0.2">
      <c r="B66" s="15" t="s">
        <v>56</v>
      </c>
      <c r="C66" s="16">
        <f>C17+C24+C29+C38+C45+C53+C60</f>
        <v>10000</v>
      </c>
      <c r="D66" s="16">
        <f>D17+D24+D29+D38+D45+D53+D60</f>
        <v>0</v>
      </c>
      <c r="E66" s="16">
        <f>E17+E24+E29+E38+E45+E53+E60</f>
        <v>0</v>
      </c>
      <c r="F66" s="16">
        <f>F17+F24+F29+F38+F45+F53+F60</f>
        <v>0</v>
      </c>
      <c r="G66" s="16">
        <f>G17+G24+G29+G38+G45+G53+G60</f>
        <v>0</v>
      </c>
      <c r="H66" s="16">
        <f>H17+H24+H29+H38+H45+H53+H60</f>
        <v>0</v>
      </c>
      <c r="I66" s="16">
        <f>I17+I24+I29+I38+I45+I53+I60</f>
        <v>0</v>
      </c>
      <c r="J66" s="16">
        <f>J17+J24+J29+J38+J45+J53+J60</f>
        <v>0</v>
      </c>
      <c r="K66" s="16">
        <f>K17+K24+K29+K38+K45+K53+K60</f>
        <v>0</v>
      </c>
      <c r="L66" s="16">
        <f>L17+L24+L29+L38+L45+L53+L60</f>
        <v>0</v>
      </c>
      <c r="M66" s="16">
        <f>M17+M24+M29+M38+M45+M53+M60</f>
        <v>0</v>
      </c>
      <c r="N66" s="16">
        <f>N17+N24+N29+N38+N45+N53+N60</f>
        <v>0</v>
      </c>
      <c r="O66" s="16">
        <f>O17+O24+O29+O38+O45+O53+O60</f>
        <v>10000</v>
      </c>
    </row>
    <row r="67" spans="2:15" s="4" customFormat="1" ht="17" thickBot="1" x14ac:dyDescent="0.25">
      <c r="B67" s="17" t="s">
        <v>25</v>
      </c>
      <c r="C67" s="18">
        <f>C14-C66</f>
        <v>0</v>
      </c>
      <c r="D67" s="18">
        <f>D14-D66</f>
        <v>0</v>
      </c>
      <c r="E67" s="18">
        <f>E14-E66</f>
        <v>0</v>
      </c>
      <c r="F67" s="18">
        <f>F14-F66</f>
        <v>0</v>
      </c>
      <c r="G67" s="18">
        <f>G14-G66</f>
        <v>0</v>
      </c>
      <c r="H67" s="18">
        <f>H14-H66</f>
        <v>0</v>
      </c>
      <c r="I67" s="18">
        <f>I14-I66</f>
        <v>0</v>
      </c>
      <c r="J67" s="18">
        <f>J14-J66</f>
        <v>0</v>
      </c>
      <c r="K67" s="18">
        <f>K14-K66</f>
        <v>0</v>
      </c>
      <c r="L67" s="18">
        <f>L14-L66</f>
        <v>0</v>
      </c>
      <c r="M67" s="18">
        <f>M14-M66</f>
        <v>0</v>
      </c>
      <c r="N67" s="18">
        <f>N14-N66</f>
        <v>0</v>
      </c>
      <c r="O67" s="18">
        <f>O14-O66</f>
        <v>0</v>
      </c>
    </row>
    <row r="68" spans="2:15" ht="17" thickTop="1" x14ac:dyDescent="0.2"/>
  </sheetData>
  <mergeCells count="16">
    <mergeCell ref="B5:B6"/>
    <mergeCell ref="N4:O4"/>
    <mergeCell ref="N5:O5"/>
    <mergeCell ref="N6:O6"/>
    <mergeCell ref="H5:I5"/>
    <mergeCell ref="H6:I6"/>
    <mergeCell ref="K4:L4"/>
    <mergeCell ref="K5:L5"/>
    <mergeCell ref="K6:L6"/>
    <mergeCell ref="D4:E4"/>
    <mergeCell ref="F4:G4"/>
    <mergeCell ref="H4:I4"/>
    <mergeCell ref="D5:E5"/>
    <mergeCell ref="D6:E6"/>
    <mergeCell ref="F5:G5"/>
    <mergeCell ref="F6:G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 Financeiro - Exemplo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Durigon</dc:creator>
  <cp:lastModifiedBy>Marcel Durigon</cp:lastModifiedBy>
  <dcterms:created xsi:type="dcterms:W3CDTF">2025-08-26T01:14:20Z</dcterms:created>
  <dcterms:modified xsi:type="dcterms:W3CDTF">2026-04-02T02:57:37Z</dcterms:modified>
</cp:coreProperties>
</file>